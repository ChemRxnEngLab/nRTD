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anaoyuncu/Documents/GitHub/nRTD/Data/"/>
    </mc:Choice>
  </mc:AlternateContent>
  <xr:revisionPtr revIDLastSave="0" documentId="13_ncr:1_{C3E8DD9F-56E4-A947-84D6-EAE994FFB9BE}" xr6:coauthVersionLast="47" xr6:coauthVersionMax="47" xr10:uidLastSave="{00000000-0000-0000-0000-000000000000}"/>
  <bookViews>
    <workbookView xWindow="0" yWindow="0" windowWidth="28800" windowHeight="18000" xr2:uid="{24048C4F-BF72-8947-858C-9A2227B38C89}"/>
  </bookViews>
  <sheets>
    <sheet name="Sheet1" sheetId="1" r:id="rId1"/>
  </sheets>
  <definedNames>
    <definedName name="solver_adj" localSheetId="0" hidden="1">Sheet1!$E$25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Sheet1!$A$30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</definedName>
    <definedName name="solver_ver" localSheetId="0" hidden="1">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E10" i="1"/>
  <c r="G5" i="1"/>
  <c r="G2" i="1"/>
  <c r="E5" i="1"/>
  <c r="E26" i="1"/>
  <c r="E29" i="1" s="1"/>
  <c r="E18" i="1"/>
  <c r="E21" i="1" s="1"/>
  <c r="A30" i="1"/>
  <c r="E13" i="1"/>
  <c r="A22" i="1"/>
  <c r="A6" i="1"/>
  <c r="B18" i="1"/>
  <c r="B10" i="1"/>
  <c r="E2" i="1"/>
  <c r="B2" i="1"/>
</calcChain>
</file>

<file path=xl/sharedStrings.xml><?xml version="1.0" encoding="utf-8"?>
<sst xmlns="http://schemas.openxmlformats.org/spreadsheetml/2006/main" count="32" uniqueCount="8">
  <si>
    <t>DeltaT_E</t>
  </si>
  <si>
    <t>DeltaT_c</t>
  </si>
  <si>
    <t>DeltaT_I</t>
  </si>
  <si>
    <t>Data time</t>
  </si>
  <si>
    <t>Constant, kernel</t>
  </si>
  <si>
    <t>N_C</t>
  </si>
  <si>
    <t>N_I</t>
  </si>
  <si>
    <t>N_E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</si>
</sst>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BE04-594C-6D40-82AC-766EF530A2C4}">
  <dimension ref="A1:G30"/>
  <sheetViews>
    <sheetView tabSelected="1" topLeftCell="A6" zoomScale="125" workbookViewId="0">
      <selection activeCell="E17" sqref="E17"/>
    </sheetView>
  </sheetViews>
  <sheetFormatPr baseColWidth="10" defaultRowHeight="16" x14ac:dyDescent="0.2"/>
  <cols>
    <col min="3" max="3" width="14.33203125" bestFit="1" customWidth="1"/>
  </cols>
  <sheetData>
    <row r="1" spans="1:7" x14ac:dyDescent="0.2">
      <c r="A1" t="s">
        <v>1</v>
      </c>
      <c r="B1">
        <v>41</v>
      </c>
      <c r="C1" t="s">
        <v>3</v>
      </c>
      <c r="D1" t="s">
        <v>5</v>
      </c>
      <c r="E1">
        <v>287.99999999999</v>
      </c>
    </row>
    <row r="2" spans="1:7" x14ac:dyDescent="0.2">
      <c r="A2" t="s">
        <v>2</v>
      </c>
      <c r="B2">
        <f>B1-B3</f>
        <v>31</v>
      </c>
      <c r="D2" t="s">
        <v>6</v>
      </c>
      <c r="E2" s="1">
        <f>E1-1-E3</f>
        <v>216.99999999999</v>
      </c>
      <c r="G2">
        <f>E3+((E1-1)*(1/(1+(B3/B2))))+1</f>
        <v>287.99999999999244</v>
      </c>
    </row>
    <row r="3" spans="1:7" x14ac:dyDescent="0.2">
      <c r="A3" t="s">
        <v>0</v>
      </c>
      <c r="B3">
        <v>10</v>
      </c>
      <c r="C3" t="s">
        <v>4</v>
      </c>
      <c r="D3" t="s">
        <v>7</v>
      </c>
      <c r="E3" s="1">
        <v>70</v>
      </c>
    </row>
    <row r="5" spans="1:7" x14ac:dyDescent="0.2">
      <c r="E5" s="1">
        <f>E3+E2+1</f>
        <v>287.99999999999</v>
      </c>
      <c r="G5">
        <f>122+((500-1)*(1/(1+(B3/B2))))+1</f>
        <v>500.29268292682929</v>
      </c>
    </row>
    <row r="6" spans="1:7" x14ac:dyDescent="0.2">
      <c r="A6">
        <f>(E1)-((E1-1)*(1/(1+B3/B2)))-1</f>
        <v>69.999999999997556</v>
      </c>
    </row>
    <row r="9" spans="1:7" x14ac:dyDescent="0.2">
      <c r="A9" t="s">
        <v>1</v>
      </c>
      <c r="B9">
        <v>41</v>
      </c>
      <c r="C9" t="s">
        <v>3</v>
      </c>
      <c r="D9" t="s">
        <v>5</v>
      </c>
      <c r="E9" s="1">
        <v>206.00020499971299</v>
      </c>
    </row>
    <row r="10" spans="1:7" x14ac:dyDescent="0.2">
      <c r="A10" t="s">
        <v>2</v>
      </c>
      <c r="B10">
        <f>B9-B11</f>
        <v>31</v>
      </c>
      <c r="D10" t="s">
        <v>6</v>
      </c>
      <c r="E10" s="1">
        <f>E9-1-E11</f>
        <v>155.00020499971299</v>
      </c>
    </row>
    <row r="11" spans="1:7" x14ac:dyDescent="0.2">
      <c r="A11" t="s">
        <v>0</v>
      </c>
      <c r="B11">
        <v>10</v>
      </c>
      <c r="C11" t="s">
        <v>4</v>
      </c>
      <c r="D11" t="s">
        <v>7</v>
      </c>
      <c r="E11" s="1">
        <v>50</v>
      </c>
    </row>
    <row r="13" spans="1:7" x14ac:dyDescent="0.2">
      <c r="E13" s="1">
        <f>E10+E11+1</f>
        <v>206.00020499971299</v>
      </c>
    </row>
    <row r="14" spans="1:7" x14ac:dyDescent="0.2">
      <c r="A14">
        <f>(E9)-((E9-1)*(1/(1+B11/B10)))-1</f>
        <v>50.000049999929985</v>
      </c>
    </row>
    <row r="17" spans="1:5" x14ac:dyDescent="0.2">
      <c r="A17" t="s">
        <v>1</v>
      </c>
      <c r="B17">
        <v>41</v>
      </c>
      <c r="C17" t="s">
        <v>3</v>
      </c>
      <c r="D17" t="s">
        <v>5</v>
      </c>
      <c r="E17" s="1">
        <v>82.999795000280002</v>
      </c>
    </row>
    <row r="18" spans="1:5" x14ac:dyDescent="0.2">
      <c r="A18" t="s">
        <v>2</v>
      </c>
      <c r="B18">
        <f>B17-B19</f>
        <v>31</v>
      </c>
      <c r="D18" t="s">
        <v>6</v>
      </c>
      <c r="E18" s="1">
        <f>E17-1-E19</f>
        <v>61.999795000280002</v>
      </c>
    </row>
    <row r="19" spans="1:5" x14ac:dyDescent="0.2">
      <c r="A19" t="s">
        <v>0</v>
      </c>
      <c r="B19">
        <v>10</v>
      </c>
      <c r="C19" t="s">
        <v>4</v>
      </c>
      <c r="D19" t="s">
        <v>7</v>
      </c>
      <c r="E19" s="1">
        <v>20</v>
      </c>
    </row>
    <row r="21" spans="1:5" x14ac:dyDescent="0.2">
      <c r="E21" s="1">
        <f>E18+E19+1</f>
        <v>82.999795000280002</v>
      </c>
    </row>
    <row r="22" spans="1:5" x14ac:dyDescent="0.2">
      <c r="A22">
        <f>(E17)-((E17-1)*(1/(1+B11/B10)))-1</f>
        <v>19.999950000068296</v>
      </c>
    </row>
    <row r="25" spans="1:5" x14ac:dyDescent="0.2">
      <c r="A25" s="2" t="s">
        <v>1</v>
      </c>
      <c r="B25" s="2">
        <v>41</v>
      </c>
      <c r="C25" s="2" t="s">
        <v>3</v>
      </c>
      <c r="D25" s="2" t="s">
        <v>5</v>
      </c>
      <c r="E25" s="3">
        <v>41.999795000000013</v>
      </c>
    </row>
    <row r="26" spans="1:5" x14ac:dyDescent="0.2">
      <c r="A26" s="2" t="s">
        <v>2</v>
      </c>
      <c r="B26" s="2">
        <v>31</v>
      </c>
      <c r="C26" s="2"/>
      <c r="D26" s="2" t="s">
        <v>6</v>
      </c>
      <c r="E26" s="3">
        <f>E25-1-E27</f>
        <v>30.999795000000013</v>
      </c>
    </row>
    <row r="27" spans="1:5" x14ac:dyDescent="0.2">
      <c r="A27" s="2" t="s">
        <v>0</v>
      </c>
      <c r="B27" s="2">
        <v>10</v>
      </c>
      <c r="C27" s="2" t="s">
        <v>4</v>
      </c>
      <c r="D27" s="2" t="s">
        <v>7</v>
      </c>
      <c r="E27" s="3">
        <v>10</v>
      </c>
    </row>
    <row r="28" spans="1:5" x14ac:dyDescent="0.2">
      <c r="A28" s="2"/>
      <c r="B28" s="2"/>
      <c r="C28" s="2"/>
      <c r="D28" s="2"/>
      <c r="E28" s="2"/>
    </row>
    <row r="29" spans="1:5" x14ac:dyDescent="0.2">
      <c r="A29" s="2"/>
      <c r="B29" s="2"/>
      <c r="C29" s="2"/>
      <c r="D29" s="2"/>
      <c r="E29" s="3">
        <f>E27+E26+1</f>
        <v>41.999795000000013</v>
      </c>
    </row>
    <row r="30" spans="1:5" x14ac:dyDescent="0.2">
      <c r="A30" s="2">
        <f>(E25)-((E25-1)*(1/(1+B19/B18)))-1</f>
        <v>9.9999500000000019</v>
      </c>
      <c r="B30" s="2"/>
      <c r="C30" s="2"/>
      <c r="D30" s="2"/>
      <c r="E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Tuana Oyuncu</dc:creator>
  <cp:lastModifiedBy>Tuana Oyuncu</cp:lastModifiedBy>
  <dcterms:created xsi:type="dcterms:W3CDTF">2024-04-14T15:20:49Z</dcterms:created>
  <dcterms:modified xsi:type="dcterms:W3CDTF">2024-04-18T13:18:24Z</dcterms:modified>
</cp:coreProperties>
</file>