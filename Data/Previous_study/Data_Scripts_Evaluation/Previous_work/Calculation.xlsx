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uanaoyuncu/Documents/GitHub/nRTD/Data/Data_Scripts_Evaluation/"/>
    </mc:Choice>
  </mc:AlternateContent>
  <xr:revisionPtr revIDLastSave="0" documentId="13_ncr:1_{07BC0B8E-4DEA-1C45-A508-5174B3207054}" xr6:coauthVersionLast="47" xr6:coauthVersionMax="47" xr10:uidLastSave="{00000000-0000-0000-0000-000000000000}"/>
  <bookViews>
    <workbookView xWindow="0" yWindow="500" windowWidth="28800" windowHeight="16400" activeTab="1" xr2:uid="{24048C4F-BF72-8947-858C-9A2227B38C89}"/>
  </bookViews>
  <sheets>
    <sheet name="Sheet1" sheetId="1" r:id="rId1"/>
    <sheet name="Laminar" sheetId="2" r:id="rId2"/>
  </sheets>
  <definedNames>
    <definedName name="solver_adj" localSheetId="0" hidden="1">Sheet1!$E$10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opt" localSheetId="0" hidden="1">Sheet1!$G$17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70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2" l="1"/>
  <c r="A52" i="2" s="1"/>
  <c r="B46" i="2"/>
  <c r="A47" i="2" s="1"/>
  <c r="A41" i="2"/>
  <c r="T24" i="2"/>
  <c r="S25" i="2" s="1"/>
  <c r="T17" i="2"/>
  <c r="S18" i="2" s="1"/>
  <c r="B40" i="2"/>
  <c r="B34" i="2"/>
  <c r="A35" i="2" s="1"/>
  <c r="E10" i="2"/>
  <c r="H34" i="2"/>
  <c r="G35" i="2" s="1"/>
  <c r="K34" i="2" s="1"/>
  <c r="G29" i="2"/>
  <c r="K10" i="2"/>
  <c r="K23" i="2"/>
  <c r="K28" i="2"/>
  <c r="Z10" i="2"/>
  <c r="Y11" i="2" s="1"/>
  <c r="N23" i="2"/>
  <c r="M24" i="2" s="1"/>
  <c r="H28" i="2"/>
  <c r="T10" i="2"/>
  <c r="S11" i="2" s="1"/>
  <c r="N17" i="2"/>
  <c r="M18" i="2" s="1"/>
  <c r="N10" i="2"/>
  <c r="M11" i="2" s="1"/>
  <c r="H23" i="2"/>
  <c r="G24" i="2" s="1"/>
  <c r="H17" i="2"/>
  <c r="G18" i="2" s="1"/>
  <c r="H10" i="2"/>
  <c r="G11" i="2"/>
  <c r="B28" i="2"/>
  <c r="A29" i="2" s="1"/>
  <c r="B22" i="2"/>
  <c r="A23" i="2" s="1"/>
  <c r="E16" i="2"/>
  <c r="A17" i="2"/>
  <c r="B16" i="2"/>
  <c r="B10" i="2"/>
  <c r="A11" i="2" s="1"/>
  <c r="B3" i="2"/>
  <c r="A4" i="2" s="1"/>
  <c r="E2" i="2" s="1"/>
  <c r="E3" i="2" s="1"/>
  <c r="J13" i="1"/>
  <c r="J19" i="1"/>
  <c r="I20" i="1" s="1"/>
  <c r="M18" i="1" s="1"/>
  <c r="M19" i="1" s="1"/>
  <c r="I14" i="1"/>
  <c r="M12" i="1" s="1"/>
  <c r="M13" i="1" s="1"/>
  <c r="I8" i="1"/>
  <c r="M6" i="1"/>
  <c r="M7" i="1" s="1"/>
  <c r="J7" i="1"/>
  <c r="A6" i="1"/>
  <c r="E51" i="2" l="1"/>
  <c r="E50" i="2"/>
  <c r="E46" i="2"/>
  <c r="E45" i="2"/>
  <c r="W24" i="2"/>
  <c r="W23" i="2"/>
  <c r="W17" i="2"/>
  <c r="W16" i="2"/>
  <c r="E40" i="2"/>
  <c r="E39" i="2"/>
  <c r="E34" i="2"/>
  <c r="E33" i="2"/>
  <c r="K33" i="2"/>
  <c r="AC10" i="2"/>
  <c r="AC9" i="2"/>
  <c r="Q23" i="2"/>
  <c r="Q22" i="2"/>
  <c r="K27" i="2"/>
  <c r="W10" i="2"/>
  <c r="W9" i="2"/>
  <c r="Q17" i="2"/>
  <c r="Q16" i="2"/>
  <c r="Q10" i="2"/>
  <c r="Q9" i="2"/>
  <c r="K22" i="2"/>
  <c r="K17" i="2"/>
  <c r="K16" i="2"/>
  <c r="K9" i="2"/>
  <c r="E28" i="2"/>
  <c r="E27" i="2"/>
  <c r="E22" i="2"/>
  <c r="E21" i="2"/>
  <c r="E15" i="2"/>
  <c r="E9" i="2"/>
  <c r="A14" i="1"/>
  <c r="G5" i="1"/>
  <c r="E13" i="1"/>
  <c r="E26" i="1"/>
  <c r="E29" i="1" s="1"/>
  <c r="E18" i="1"/>
  <c r="E21" i="1" s="1"/>
  <c r="A22" i="1"/>
  <c r="B18" i="1"/>
  <c r="A30" i="1" s="1"/>
  <c r="B10" i="1"/>
  <c r="E2" i="1"/>
  <c r="E5" i="1" s="1"/>
  <c r="B2" i="1"/>
  <c r="G2" i="1" l="1"/>
</calcChain>
</file>

<file path=xl/sharedStrings.xml><?xml version="1.0" encoding="utf-8"?>
<sst xmlns="http://schemas.openxmlformats.org/spreadsheetml/2006/main" count="229" uniqueCount="13">
  <si>
    <t>DeltaT_E</t>
  </si>
  <si>
    <t>DeltaT_c</t>
  </si>
  <si>
    <t>DeltaT_I</t>
  </si>
  <si>
    <t>Data time</t>
  </si>
  <si>
    <t>Constant, kernel</t>
  </si>
  <si>
    <t>N_C</t>
  </si>
  <si>
    <t>N_I</t>
  </si>
  <si>
    <t>N_E</t>
  </si>
  <si>
    <t>LAMINAR</t>
  </si>
  <si>
    <t>Dispersion</t>
  </si>
  <si>
    <t>unified</t>
  </si>
  <si>
    <t>Laminar</t>
  </si>
  <si>
    <t>Adler Hovarko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</si>
</sst>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BE04-594C-6D40-82AC-766EF530A2C4}">
  <dimension ref="A1:M30"/>
  <sheetViews>
    <sheetView zoomScale="125" workbookViewId="0">
      <selection activeCell="I17" sqref="I17:M20"/>
    </sheetView>
  </sheetViews>
  <sheetFormatPr baseColWidth="10" defaultRowHeight="16" x14ac:dyDescent="0.2"/>
  <cols>
    <col min="3" max="3" width="14.33203125" bestFit="1" customWidth="1"/>
  </cols>
  <sheetData>
    <row r="1" spans="1:13" x14ac:dyDescent="0.2">
      <c r="A1" t="s">
        <v>1</v>
      </c>
      <c r="B1">
        <v>41</v>
      </c>
      <c r="C1" t="s">
        <v>3</v>
      </c>
      <c r="D1" t="s">
        <v>5</v>
      </c>
      <c r="E1">
        <v>287.99999999999</v>
      </c>
    </row>
    <row r="2" spans="1:13" x14ac:dyDescent="0.2">
      <c r="A2" t="s">
        <v>2</v>
      </c>
      <c r="B2">
        <f>B1-B3</f>
        <v>31</v>
      </c>
      <c r="D2" t="s">
        <v>6</v>
      </c>
      <c r="E2" s="1">
        <f>E1-1-E3</f>
        <v>216.99999999999</v>
      </c>
      <c r="G2">
        <f>E3+((E1-1)*(1/(1+(B3/B2))))+1</f>
        <v>287.99999999999244</v>
      </c>
    </row>
    <row r="3" spans="1:13" x14ac:dyDescent="0.2">
      <c r="A3" t="s">
        <v>0</v>
      </c>
      <c r="B3">
        <v>10</v>
      </c>
      <c r="C3" t="s">
        <v>4</v>
      </c>
      <c r="D3" t="s">
        <v>7</v>
      </c>
      <c r="E3" s="1">
        <v>70</v>
      </c>
    </row>
    <row r="5" spans="1:13" x14ac:dyDescent="0.2">
      <c r="E5" s="1">
        <f>E3+E2+1</f>
        <v>287.99999999999</v>
      </c>
      <c r="G5">
        <f>122+((500-1)*(1/(1+(B3/B2))))+1</f>
        <v>500.29268292682929</v>
      </c>
      <c r="I5" t="s">
        <v>1</v>
      </c>
      <c r="J5">
        <v>41</v>
      </c>
      <c r="K5" t="s">
        <v>3</v>
      </c>
      <c r="L5" t="s">
        <v>5</v>
      </c>
      <c r="M5">
        <v>500</v>
      </c>
    </row>
    <row r="6" spans="1:13" x14ac:dyDescent="0.2">
      <c r="A6">
        <f>(E1)-((E1-1)*(1/(1+B3/B2)))-1</f>
        <v>69.999999999997556</v>
      </c>
      <c r="I6" t="s">
        <v>2</v>
      </c>
      <c r="J6">
        <v>10</v>
      </c>
      <c r="L6" t="s">
        <v>6</v>
      </c>
      <c r="M6" s="1">
        <f>I8</f>
        <v>377.29268292682929</v>
      </c>
    </row>
    <row r="7" spans="1:13" x14ac:dyDescent="0.2">
      <c r="I7" t="s">
        <v>0</v>
      </c>
      <c r="J7">
        <f>J5-J6</f>
        <v>31</v>
      </c>
      <c r="K7" t="s">
        <v>4</v>
      </c>
      <c r="L7" t="s">
        <v>7</v>
      </c>
      <c r="M7" s="1">
        <f>M5-1-M6</f>
        <v>121.70731707317071</v>
      </c>
    </row>
    <row r="8" spans="1:13" x14ac:dyDescent="0.2">
      <c r="I8" s="1">
        <f>((M5-1)*(1/(1+J6/J7)))</f>
        <v>377.29268292682929</v>
      </c>
    </row>
    <row r="9" spans="1:13" x14ac:dyDescent="0.2">
      <c r="A9" t="s">
        <v>1</v>
      </c>
      <c r="B9">
        <v>41</v>
      </c>
      <c r="C9" t="s">
        <v>3</v>
      </c>
      <c r="D9" t="s">
        <v>5</v>
      </c>
      <c r="E9" s="1">
        <v>206.00020499971299</v>
      </c>
    </row>
    <row r="10" spans="1:13" x14ac:dyDescent="0.2">
      <c r="A10" t="s">
        <v>2</v>
      </c>
      <c r="B10">
        <f>B9-B11</f>
        <v>31</v>
      </c>
      <c r="D10" t="s">
        <v>6</v>
      </c>
      <c r="E10" s="1">
        <v>155.00020499971299</v>
      </c>
    </row>
    <row r="11" spans="1:13" x14ac:dyDescent="0.2">
      <c r="A11" t="s">
        <v>0</v>
      </c>
      <c r="B11">
        <v>10</v>
      </c>
      <c r="C11" t="s">
        <v>4</v>
      </c>
      <c r="D11" t="s">
        <v>7</v>
      </c>
      <c r="E11" s="1">
        <v>50</v>
      </c>
      <c r="I11" t="s">
        <v>1</v>
      </c>
      <c r="J11">
        <v>46</v>
      </c>
      <c r="K11" t="s">
        <v>3</v>
      </c>
      <c r="L11" t="s">
        <v>5</v>
      </c>
      <c r="M11">
        <v>500</v>
      </c>
    </row>
    <row r="12" spans="1:13" x14ac:dyDescent="0.2">
      <c r="I12" t="s">
        <v>2</v>
      </c>
      <c r="J12">
        <v>15</v>
      </c>
      <c r="L12" t="s">
        <v>6</v>
      </c>
      <c r="M12" s="1">
        <f>I14</f>
        <v>336.28260869565219</v>
      </c>
    </row>
    <row r="13" spans="1:13" x14ac:dyDescent="0.2">
      <c r="E13" s="1">
        <f>E10+E11+1</f>
        <v>206.00020499971299</v>
      </c>
      <c r="I13" t="s">
        <v>0</v>
      </c>
      <c r="J13">
        <f>J11-J12</f>
        <v>31</v>
      </c>
      <c r="K13" t="s">
        <v>4</v>
      </c>
      <c r="L13" t="s">
        <v>7</v>
      </c>
      <c r="M13" s="1">
        <f>M11-1-M12</f>
        <v>162.71739130434781</v>
      </c>
    </row>
    <row r="14" spans="1:13" x14ac:dyDescent="0.2">
      <c r="A14">
        <f>(E9)-((E9-1)*(1/(1+B11/B10)))-1</f>
        <v>50.000049999929985</v>
      </c>
      <c r="I14" s="1">
        <f>((M11-1)*(1/(1+J12/J13)))</f>
        <v>336.28260869565219</v>
      </c>
    </row>
    <row r="17" spans="1:13" x14ac:dyDescent="0.2">
      <c r="A17" t="s">
        <v>1</v>
      </c>
      <c r="B17">
        <v>41</v>
      </c>
      <c r="C17" t="s">
        <v>3</v>
      </c>
      <c r="D17" t="s">
        <v>5</v>
      </c>
      <c r="E17" s="1">
        <v>82.999795000280002</v>
      </c>
      <c r="I17" t="s">
        <v>1</v>
      </c>
      <c r="J17">
        <v>56</v>
      </c>
      <c r="K17" t="s">
        <v>3</v>
      </c>
      <c r="L17" t="s">
        <v>5</v>
      </c>
      <c r="M17">
        <v>500</v>
      </c>
    </row>
    <row r="18" spans="1:13" x14ac:dyDescent="0.2">
      <c r="A18" t="s">
        <v>2</v>
      </c>
      <c r="B18">
        <f>B17-B19</f>
        <v>31</v>
      </c>
      <c r="D18" t="s">
        <v>6</v>
      </c>
      <c r="E18" s="1">
        <f>E17-1-E19</f>
        <v>61.999795000280002</v>
      </c>
      <c r="I18" t="s">
        <v>2</v>
      </c>
      <c r="J18">
        <v>20</v>
      </c>
      <c r="L18" t="s">
        <v>6</v>
      </c>
      <c r="M18" s="1">
        <f>I20</f>
        <v>320.78571428571428</v>
      </c>
    </row>
    <row r="19" spans="1:13" x14ac:dyDescent="0.2">
      <c r="A19" t="s">
        <v>0</v>
      </c>
      <c r="B19">
        <v>10</v>
      </c>
      <c r="C19" t="s">
        <v>4</v>
      </c>
      <c r="D19" t="s">
        <v>7</v>
      </c>
      <c r="E19" s="1">
        <v>20</v>
      </c>
      <c r="I19" t="s">
        <v>0</v>
      </c>
      <c r="J19">
        <f>J17-J18</f>
        <v>36</v>
      </c>
      <c r="K19" t="s">
        <v>4</v>
      </c>
      <c r="L19" t="s">
        <v>7</v>
      </c>
      <c r="M19" s="1">
        <f>M17-1-M18</f>
        <v>178.21428571428572</v>
      </c>
    </row>
    <row r="20" spans="1:13" x14ac:dyDescent="0.2">
      <c r="I20" s="1">
        <f>((M17-1)*(1/(1+J18/J19)))</f>
        <v>320.78571428571428</v>
      </c>
    </row>
    <row r="21" spans="1:13" x14ac:dyDescent="0.2">
      <c r="E21" s="1">
        <f>E18+E19+1</f>
        <v>82.999795000280002</v>
      </c>
    </row>
    <row r="22" spans="1:13" x14ac:dyDescent="0.2">
      <c r="A22">
        <f>(E17)-((E17-1)*(1/(1+B11/B10)))-1</f>
        <v>19.999950000068296</v>
      </c>
    </row>
    <row r="25" spans="1:13" x14ac:dyDescent="0.2">
      <c r="A25" s="2" t="s">
        <v>1</v>
      </c>
      <c r="B25" s="2">
        <v>41</v>
      </c>
      <c r="C25" s="2" t="s">
        <v>3</v>
      </c>
      <c r="D25" s="2" t="s">
        <v>5</v>
      </c>
      <c r="E25" s="3">
        <v>41.999795000000013</v>
      </c>
    </row>
    <row r="26" spans="1:13" x14ac:dyDescent="0.2">
      <c r="A26" s="2" t="s">
        <v>2</v>
      </c>
      <c r="B26" s="2">
        <v>31</v>
      </c>
      <c r="C26" s="2"/>
      <c r="D26" s="2" t="s">
        <v>6</v>
      </c>
      <c r="E26" s="3">
        <f>E25-1-E27</f>
        <v>30.999795000000013</v>
      </c>
    </row>
    <row r="27" spans="1:13" x14ac:dyDescent="0.2">
      <c r="A27" s="2" t="s">
        <v>0</v>
      </c>
      <c r="B27" s="2">
        <v>10</v>
      </c>
      <c r="C27" s="2" t="s">
        <v>4</v>
      </c>
      <c r="D27" s="2" t="s">
        <v>7</v>
      </c>
      <c r="E27" s="3">
        <v>10</v>
      </c>
    </row>
    <row r="28" spans="1:13" x14ac:dyDescent="0.2">
      <c r="A28" s="2"/>
      <c r="B28" s="2"/>
      <c r="C28" s="2"/>
      <c r="D28" s="2"/>
      <c r="E28" s="2"/>
    </row>
    <row r="29" spans="1:13" x14ac:dyDescent="0.2">
      <c r="A29" s="2"/>
      <c r="B29" s="2"/>
      <c r="C29" s="2"/>
      <c r="D29" s="2"/>
      <c r="E29" s="3">
        <f>E27+E26+1</f>
        <v>41.999795000000013</v>
      </c>
    </row>
    <row r="30" spans="1:13" x14ac:dyDescent="0.2">
      <c r="A30" s="2">
        <f>(E25)-((E25-1)*(1/(1+B19/B18)))-1</f>
        <v>9.9999500000000019</v>
      </c>
      <c r="B30" s="2"/>
      <c r="C30" s="2"/>
      <c r="D30" s="2"/>
      <c r="E3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91877-51E4-D242-9782-E0B87465A1CE}">
  <dimension ref="A1:AC52"/>
  <sheetViews>
    <sheetView tabSelected="1" topLeftCell="A31" zoomScale="150" workbookViewId="0">
      <selection activeCell="E50" sqref="E50"/>
    </sheetView>
  </sheetViews>
  <sheetFormatPr baseColWidth="10" defaultRowHeight="16" x14ac:dyDescent="0.2"/>
  <cols>
    <col min="6" max="6" width="10.83203125" style="6"/>
    <col min="12" max="12" width="10.83203125" style="6"/>
    <col min="18" max="18" width="10.83203125" style="6"/>
    <col min="19" max="19" width="12.5" bestFit="1" customWidth="1"/>
    <col min="24" max="24" width="10.83203125" style="6"/>
  </cols>
  <sheetData>
    <row r="1" spans="1:29" x14ac:dyDescent="0.2">
      <c r="A1" t="s">
        <v>1</v>
      </c>
      <c r="B1">
        <v>100</v>
      </c>
      <c r="C1" t="s">
        <v>3</v>
      </c>
      <c r="D1" t="s">
        <v>5</v>
      </c>
      <c r="E1">
        <v>500</v>
      </c>
    </row>
    <row r="2" spans="1:29" x14ac:dyDescent="0.2">
      <c r="A2" t="s">
        <v>2</v>
      </c>
      <c r="B2">
        <v>20</v>
      </c>
      <c r="D2" t="s">
        <v>6</v>
      </c>
      <c r="E2" s="1">
        <f>A4</f>
        <v>399.20000000000005</v>
      </c>
    </row>
    <row r="3" spans="1:29" x14ac:dyDescent="0.2">
      <c r="A3" t="s">
        <v>0</v>
      </c>
      <c r="B3">
        <f>B1-B2</f>
        <v>80</v>
      </c>
      <c r="C3" t="s">
        <v>4</v>
      </c>
      <c r="D3" t="s">
        <v>7</v>
      </c>
      <c r="E3" s="1">
        <f>E1-1-E2</f>
        <v>99.799999999999955</v>
      </c>
    </row>
    <row r="4" spans="1:29" x14ac:dyDescent="0.2">
      <c r="A4" s="1">
        <f>((E1-1)*(1/(1+B2/B3)))</f>
        <v>399.20000000000005</v>
      </c>
    </row>
    <row r="6" spans="1:29" x14ac:dyDescent="0.2">
      <c r="A6" s="4" t="s">
        <v>8</v>
      </c>
      <c r="B6" s="4" t="s">
        <v>11</v>
      </c>
      <c r="G6" s="4" t="s">
        <v>9</v>
      </c>
      <c r="M6" s="4" t="s">
        <v>10</v>
      </c>
      <c r="S6" s="4" t="s">
        <v>12</v>
      </c>
    </row>
    <row r="7" spans="1:29" x14ac:dyDescent="0.2">
      <c r="A7" s="5">
        <v>500</v>
      </c>
      <c r="B7" s="5">
        <v>500</v>
      </c>
      <c r="G7" s="5">
        <v>500</v>
      </c>
      <c r="M7" s="5">
        <v>500</v>
      </c>
      <c r="S7">
        <v>200</v>
      </c>
      <c r="Y7">
        <v>200</v>
      </c>
    </row>
    <row r="8" spans="1:29" x14ac:dyDescent="0.2">
      <c r="A8" t="s">
        <v>1</v>
      </c>
      <c r="B8">
        <v>60</v>
      </c>
      <c r="C8" t="s">
        <v>3</v>
      </c>
      <c r="D8" t="s">
        <v>5</v>
      </c>
      <c r="E8">
        <v>500</v>
      </c>
      <c r="G8" t="s">
        <v>1</v>
      </c>
      <c r="H8">
        <v>100</v>
      </c>
      <c r="I8" t="s">
        <v>3</v>
      </c>
      <c r="J8" t="s">
        <v>5</v>
      </c>
      <c r="K8">
        <v>500</v>
      </c>
      <c r="M8" t="s">
        <v>1</v>
      </c>
      <c r="N8">
        <v>45</v>
      </c>
      <c r="O8" t="s">
        <v>3</v>
      </c>
      <c r="P8" t="s">
        <v>5</v>
      </c>
      <c r="Q8">
        <v>500</v>
      </c>
      <c r="S8" t="s">
        <v>1</v>
      </c>
      <c r="T8">
        <v>45</v>
      </c>
      <c r="U8" t="s">
        <v>3</v>
      </c>
      <c r="V8" t="s">
        <v>5</v>
      </c>
      <c r="W8">
        <v>200</v>
      </c>
      <c r="Y8" t="s">
        <v>1</v>
      </c>
      <c r="Z8">
        <v>100</v>
      </c>
      <c r="AA8" t="s">
        <v>3</v>
      </c>
      <c r="AB8" t="s">
        <v>5</v>
      </c>
      <c r="AC8">
        <v>200</v>
      </c>
    </row>
    <row r="9" spans="1:29" x14ac:dyDescent="0.2">
      <c r="A9" t="s">
        <v>2</v>
      </c>
      <c r="B9">
        <v>30</v>
      </c>
      <c r="D9" t="s">
        <v>6</v>
      </c>
      <c r="E9" s="1">
        <f>A11</f>
        <v>249.5</v>
      </c>
      <c r="G9" t="s">
        <v>2</v>
      </c>
      <c r="H9">
        <v>30</v>
      </c>
      <c r="J9" t="s">
        <v>6</v>
      </c>
      <c r="K9" s="1">
        <f>G11</f>
        <v>349.29999999999995</v>
      </c>
      <c r="M9" t="s">
        <v>2</v>
      </c>
      <c r="N9">
        <v>20</v>
      </c>
      <c r="P9" t="s">
        <v>6</v>
      </c>
      <c r="Q9" s="1">
        <f>M11</f>
        <v>277.22222222222223</v>
      </c>
      <c r="S9" t="s">
        <v>2</v>
      </c>
      <c r="T9">
        <v>25</v>
      </c>
      <c r="V9" t="s">
        <v>6</v>
      </c>
      <c r="W9" s="1">
        <f>S11</f>
        <v>88.444444444444443</v>
      </c>
      <c r="Y9" t="s">
        <v>2</v>
      </c>
      <c r="Z9">
        <v>40</v>
      </c>
      <c r="AB9" t="s">
        <v>6</v>
      </c>
      <c r="AC9" s="1">
        <f>Y11</f>
        <v>119.40000000000002</v>
      </c>
    </row>
    <row r="10" spans="1:29" x14ac:dyDescent="0.2">
      <c r="A10" t="s">
        <v>0</v>
      </c>
      <c r="B10">
        <f>B8-B9</f>
        <v>30</v>
      </c>
      <c r="C10" t="s">
        <v>4</v>
      </c>
      <c r="D10" t="s">
        <v>7</v>
      </c>
      <c r="E10" s="1">
        <f>E8-A11-2</f>
        <v>248.5</v>
      </c>
      <c r="G10" t="s">
        <v>0</v>
      </c>
      <c r="H10">
        <f>H8-H9</f>
        <v>70</v>
      </c>
      <c r="I10" t="s">
        <v>4</v>
      </c>
      <c r="J10" t="s">
        <v>7</v>
      </c>
      <c r="K10" s="1">
        <f>K8-G11-1</f>
        <v>149.70000000000005</v>
      </c>
      <c r="M10" t="s">
        <v>0</v>
      </c>
      <c r="N10">
        <f>N8-N9</f>
        <v>25</v>
      </c>
      <c r="O10" t="s">
        <v>4</v>
      </c>
      <c r="P10" t="s">
        <v>7</v>
      </c>
      <c r="Q10" s="1">
        <f>Q8-M11-1</f>
        <v>221.77777777777777</v>
      </c>
      <c r="S10" t="s">
        <v>0</v>
      </c>
      <c r="T10">
        <f>T8-T9</f>
        <v>20</v>
      </c>
      <c r="U10" t="s">
        <v>4</v>
      </c>
      <c r="V10" t="s">
        <v>7</v>
      </c>
      <c r="W10" s="1">
        <f>W8-S11-1</f>
        <v>110.55555555555556</v>
      </c>
      <c r="Y10" t="s">
        <v>0</v>
      </c>
      <c r="Z10">
        <f>Z8-Z9</f>
        <v>60</v>
      </c>
      <c r="AA10" t="s">
        <v>4</v>
      </c>
      <c r="AB10" t="s">
        <v>7</v>
      </c>
      <c r="AC10" s="1">
        <f>AC8-Y11-1</f>
        <v>79.59999999999998</v>
      </c>
    </row>
    <row r="11" spans="1:29" x14ac:dyDescent="0.2">
      <c r="A11" s="1">
        <f>((E8-1)*(1/(1+B9/B10)))</f>
        <v>249.5</v>
      </c>
      <c r="G11" s="1">
        <f>((K8-1)*(1/(1+H9/H10)))</f>
        <v>349.29999999999995</v>
      </c>
      <c r="M11" s="1">
        <f>((Q8-1)*(1/(1+N9/N10)))</f>
        <v>277.22222222222223</v>
      </c>
      <c r="S11" s="1">
        <f>((W8-1)*(1/(1+T9/T10)))</f>
        <v>88.444444444444443</v>
      </c>
      <c r="Y11" s="1">
        <f>((AC8-1)*(1/(1+Z9/Z10)))</f>
        <v>119.40000000000002</v>
      </c>
    </row>
    <row r="13" spans="1:29" x14ac:dyDescent="0.2">
      <c r="A13" s="5">
        <v>400</v>
      </c>
    </row>
    <row r="14" spans="1:29" x14ac:dyDescent="0.2">
      <c r="A14" s="2" t="s">
        <v>1</v>
      </c>
      <c r="B14" s="2">
        <v>60</v>
      </c>
      <c r="C14" s="2" t="s">
        <v>3</v>
      </c>
      <c r="D14" s="2" t="s">
        <v>5</v>
      </c>
      <c r="E14" s="2">
        <v>400</v>
      </c>
      <c r="G14">
        <v>100</v>
      </c>
      <c r="M14" s="5">
        <v>300</v>
      </c>
      <c r="S14">
        <v>200</v>
      </c>
    </row>
    <row r="15" spans="1:29" x14ac:dyDescent="0.2">
      <c r="A15" s="2" t="s">
        <v>2</v>
      </c>
      <c r="B15" s="2">
        <v>30</v>
      </c>
      <c r="C15" s="2"/>
      <c r="D15" s="2" t="s">
        <v>6</v>
      </c>
      <c r="E15" s="3">
        <f>A17</f>
        <v>199.5</v>
      </c>
      <c r="G15" t="s">
        <v>1</v>
      </c>
      <c r="H15">
        <v>100</v>
      </c>
      <c r="I15" t="s">
        <v>3</v>
      </c>
      <c r="J15" t="s">
        <v>5</v>
      </c>
      <c r="K15">
        <v>100</v>
      </c>
      <c r="M15" t="s">
        <v>1</v>
      </c>
      <c r="N15">
        <v>45</v>
      </c>
      <c r="O15" t="s">
        <v>3</v>
      </c>
      <c r="P15" t="s">
        <v>5</v>
      </c>
      <c r="Q15">
        <v>300</v>
      </c>
      <c r="S15" t="s">
        <v>1</v>
      </c>
      <c r="T15">
        <v>45</v>
      </c>
      <c r="U15" t="s">
        <v>3</v>
      </c>
      <c r="V15" t="s">
        <v>5</v>
      </c>
      <c r="W15">
        <v>500</v>
      </c>
    </row>
    <row r="16" spans="1:29" x14ac:dyDescent="0.2">
      <c r="A16" s="2" t="s">
        <v>0</v>
      </c>
      <c r="B16" s="2">
        <f>B14-B15</f>
        <v>30</v>
      </c>
      <c r="C16" s="2" t="s">
        <v>4</v>
      </c>
      <c r="D16" s="2" t="s">
        <v>7</v>
      </c>
      <c r="E16" s="3">
        <f>E14-A17-2</f>
        <v>198.5</v>
      </c>
      <c r="G16" t="s">
        <v>2</v>
      </c>
      <c r="H16">
        <v>70</v>
      </c>
      <c r="J16" t="s">
        <v>6</v>
      </c>
      <c r="K16" s="1">
        <f>G18</f>
        <v>29.7</v>
      </c>
      <c r="M16" t="s">
        <v>2</v>
      </c>
      <c r="N16">
        <v>20</v>
      </c>
      <c r="P16" t="s">
        <v>6</v>
      </c>
      <c r="Q16" s="1">
        <f>M18</f>
        <v>166.11111111111111</v>
      </c>
      <c r="S16" t="s">
        <v>2</v>
      </c>
      <c r="T16">
        <v>25</v>
      </c>
      <c r="V16" t="s">
        <v>6</v>
      </c>
      <c r="W16" s="1">
        <f>S18</f>
        <v>221.77777777777777</v>
      </c>
    </row>
    <row r="17" spans="1:23" x14ac:dyDescent="0.2">
      <c r="A17" s="3">
        <f>((E14-1)*(1/(1+B15/B16)))</f>
        <v>199.5</v>
      </c>
      <c r="B17" s="2"/>
      <c r="C17" s="2"/>
      <c r="D17" s="2"/>
      <c r="E17" s="2"/>
      <c r="G17" t="s">
        <v>0</v>
      </c>
      <c r="H17">
        <f>H15-H16</f>
        <v>30</v>
      </c>
      <c r="I17" t="s">
        <v>4</v>
      </c>
      <c r="J17" t="s">
        <v>7</v>
      </c>
      <c r="K17" s="1">
        <f>K15-G18-1</f>
        <v>69.3</v>
      </c>
      <c r="M17" t="s">
        <v>0</v>
      </c>
      <c r="N17">
        <f>N15-N16</f>
        <v>25</v>
      </c>
      <c r="O17" t="s">
        <v>4</v>
      </c>
      <c r="P17" t="s">
        <v>7</v>
      </c>
      <c r="Q17" s="1">
        <f>Q15-M18-1</f>
        <v>132.88888888888889</v>
      </c>
      <c r="S17" t="s">
        <v>0</v>
      </c>
      <c r="T17">
        <f>T15-T16</f>
        <v>20</v>
      </c>
      <c r="U17" t="s">
        <v>4</v>
      </c>
      <c r="V17" t="s">
        <v>7</v>
      </c>
      <c r="W17" s="1">
        <f>W15-S18-1</f>
        <v>277.22222222222223</v>
      </c>
    </row>
    <row r="18" spans="1:23" x14ac:dyDescent="0.2">
      <c r="G18" s="1">
        <f>((K15-1)*(1/(1+H16/H17)))</f>
        <v>29.7</v>
      </c>
      <c r="M18" s="1">
        <f>((Q15-1)*(1/(1+N16/N17)))</f>
        <v>166.11111111111111</v>
      </c>
      <c r="S18" s="1">
        <f>((W15-1)*(1/(1+T16/T17)))</f>
        <v>221.77777777777777</v>
      </c>
    </row>
    <row r="19" spans="1:23" x14ac:dyDescent="0.2">
      <c r="A19" s="5">
        <v>300</v>
      </c>
    </row>
    <row r="20" spans="1:23" x14ac:dyDescent="0.2">
      <c r="A20" s="2" t="s">
        <v>1</v>
      </c>
      <c r="B20" s="2">
        <v>60</v>
      </c>
      <c r="C20" s="2" t="s">
        <v>3</v>
      </c>
      <c r="D20" s="2" t="s">
        <v>5</v>
      </c>
      <c r="E20" s="2">
        <v>300</v>
      </c>
      <c r="G20">
        <v>300</v>
      </c>
      <c r="M20" s="5">
        <v>200</v>
      </c>
    </row>
    <row r="21" spans="1:23" x14ac:dyDescent="0.2">
      <c r="A21" s="2" t="s">
        <v>2</v>
      </c>
      <c r="B21" s="2">
        <v>30</v>
      </c>
      <c r="C21" s="2"/>
      <c r="D21" s="2" t="s">
        <v>6</v>
      </c>
      <c r="E21" s="3">
        <f>A23</f>
        <v>149.5</v>
      </c>
      <c r="G21" t="s">
        <v>1</v>
      </c>
      <c r="H21">
        <v>100</v>
      </c>
      <c r="I21" t="s">
        <v>3</v>
      </c>
      <c r="J21" t="s">
        <v>5</v>
      </c>
      <c r="K21">
        <v>300</v>
      </c>
      <c r="M21" t="s">
        <v>1</v>
      </c>
      <c r="N21">
        <v>45</v>
      </c>
      <c r="O21" t="s">
        <v>3</v>
      </c>
      <c r="P21" t="s">
        <v>5</v>
      </c>
      <c r="Q21">
        <v>200</v>
      </c>
      <c r="S21">
        <v>200</v>
      </c>
    </row>
    <row r="22" spans="1:23" x14ac:dyDescent="0.2">
      <c r="A22" s="2" t="s">
        <v>0</v>
      </c>
      <c r="B22" s="2">
        <f>B20-B21</f>
        <v>30</v>
      </c>
      <c r="C22" s="2" t="s">
        <v>4</v>
      </c>
      <c r="D22" s="2" t="s">
        <v>7</v>
      </c>
      <c r="E22" s="3">
        <f>E20-A23-2</f>
        <v>148.5</v>
      </c>
      <c r="G22" t="s">
        <v>2</v>
      </c>
      <c r="H22">
        <v>50</v>
      </c>
      <c r="J22" t="s">
        <v>6</v>
      </c>
      <c r="K22" s="1">
        <f>G24</f>
        <v>149.5</v>
      </c>
      <c r="M22" t="s">
        <v>2</v>
      </c>
      <c r="N22">
        <v>20</v>
      </c>
      <c r="P22" t="s">
        <v>6</v>
      </c>
      <c r="Q22" s="1">
        <f>M24</f>
        <v>110.55555555555556</v>
      </c>
      <c r="S22" t="s">
        <v>1</v>
      </c>
      <c r="T22">
        <v>45</v>
      </c>
      <c r="U22" t="s">
        <v>3</v>
      </c>
      <c r="V22" t="s">
        <v>5</v>
      </c>
      <c r="W22">
        <v>334</v>
      </c>
    </row>
    <row r="23" spans="1:23" x14ac:dyDescent="0.2">
      <c r="A23" s="3">
        <f>((E20-1)*(1/(1+B21/B22)))</f>
        <v>149.5</v>
      </c>
      <c r="B23" s="2"/>
      <c r="C23" s="2"/>
      <c r="D23" s="2"/>
      <c r="E23" s="2"/>
      <c r="G23" t="s">
        <v>0</v>
      </c>
      <c r="H23">
        <f>H21-H22</f>
        <v>50</v>
      </c>
      <c r="I23" t="s">
        <v>4</v>
      </c>
      <c r="J23" t="s">
        <v>7</v>
      </c>
      <c r="K23" s="1">
        <f>K21-G24-2</f>
        <v>148.5</v>
      </c>
      <c r="M23" t="s">
        <v>0</v>
      </c>
      <c r="N23">
        <f>N21-N22</f>
        <v>25</v>
      </c>
      <c r="O23" t="s">
        <v>4</v>
      </c>
      <c r="P23" t="s">
        <v>7</v>
      </c>
      <c r="Q23" s="1">
        <f>Q21-M24-1</f>
        <v>88.444444444444443</v>
      </c>
      <c r="S23" t="s">
        <v>2</v>
      </c>
      <c r="T23">
        <v>25</v>
      </c>
      <c r="V23" t="s">
        <v>6</v>
      </c>
      <c r="W23" s="1">
        <f>S25</f>
        <v>148</v>
      </c>
    </row>
    <row r="24" spans="1:23" x14ac:dyDescent="0.2">
      <c r="G24" s="1">
        <f>((K21-1)*(1/(1+H22/H23)))</f>
        <v>149.5</v>
      </c>
      <c r="M24" s="1">
        <f>((Q21-1)*(1/(1+N22/N23)))</f>
        <v>110.55555555555556</v>
      </c>
      <c r="S24" t="s">
        <v>0</v>
      </c>
      <c r="T24">
        <f>T22-T23</f>
        <v>20</v>
      </c>
      <c r="U24" t="s">
        <v>4</v>
      </c>
      <c r="V24" t="s">
        <v>7</v>
      </c>
      <c r="W24" s="1">
        <f>W22-S25-1</f>
        <v>185</v>
      </c>
    </row>
    <row r="25" spans="1:23" x14ac:dyDescent="0.2">
      <c r="A25" s="5">
        <v>200</v>
      </c>
      <c r="G25">
        <v>200</v>
      </c>
      <c r="S25" s="1">
        <f>((W22-1)*(1/(1+T23/T24)))</f>
        <v>148</v>
      </c>
    </row>
    <row r="26" spans="1:23" x14ac:dyDescent="0.2">
      <c r="A26" s="2" t="s">
        <v>1</v>
      </c>
      <c r="B26" s="2">
        <v>60</v>
      </c>
      <c r="C26" s="2" t="s">
        <v>3</v>
      </c>
      <c r="D26" s="2" t="s">
        <v>5</v>
      </c>
      <c r="E26" s="2">
        <v>200</v>
      </c>
      <c r="G26" t="s">
        <v>1</v>
      </c>
      <c r="H26">
        <v>100</v>
      </c>
      <c r="I26" t="s">
        <v>3</v>
      </c>
      <c r="J26" t="s">
        <v>5</v>
      </c>
      <c r="K26">
        <v>200</v>
      </c>
    </row>
    <row r="27" spans="1:23" x14ac:dyDescent="0.2">
      <c r="A27" s="2" t="s">
        <v>2</v>
      </c>
      <c r="B27" s="2">
        <v>30</v>
      </c>
      <c r="C27" s="2"/>
      <c r="D27" s="2" t="s">
        <v>6</v>
      </c>
      <c r="E27" s="3">
        <f>A29</f>
        <v>99.5</v>
      </c>
      <c r="G27" t="s">
        <v>2</v>
      </c>
      <c r="H27">
        <v>50</v>
      </c>
      <c r="J27" t="s">
        <v>6</v>
      </c>
      <c r="K27" s="1">
        <f>G29</f>
        <v>99.5</v>
      </c>
    </row>
    <row r="28" spans="1:23" x14ac:dyDescent="0.2">
      <c r="A28" s="2" t="s">
        <v>0</v>
      </c>
      <c r="B28" s="2">
        <f>B26-B27</f>
        <v>30</v>
      </c>
      <c r="C28" s="2" t="s">
        <v>4</v>
      </c>
      <c r="D28" s="2" t="s">
        <v>7</v>
      </c>
      <c r="E28" s="3">
        <f>E26-A29-2</f>
        <v>98.5</v>
      </c>
      <c r="G28" t="s">
        <v>0</v>
      </c>
      <c r="H28">
        <f>H26-H27</f>
        <v>50</v>
      </c>
      <c r="I28" t="s">
        <v>4</v>
      </c>
      <c r="J28" t="s">
        <v>7</v>
      </c>
      <c r="K28" s="1">
        <f>K26-G29-2</f>
        <v>98.5</v>
      </c>
    </row>
    <row r="29" spans="1:23" x14ac:dyDescent="0.2">
      <c r="A29" s="3">
        <f>((E26-1)*(1/(1+B27/B28)))</f>
        <v>99.5</v>
      </c>
      <c r="B29" s="2"/>
      <c r="C29" s="2"/>
      <c r="D29" s="2"/>
      <c r="E29" s="2"/>
      <c r="G29" s="1">
        <f>((K26-1)*(1/(1+H27/H28)))</f>
        <v>99.5</v>
      </c>
    </row>
    <row r="31" spans="1:23" x14ac:dyDescent="0.2">
      <c r="A31" s="5">
        <v>200</v>
      </c>
      <c r="G31">
        <v>200</v>
      </c>
    </row>
    <row r="32" spans="1:23" x14ac:dyDescent="0.2">
      <c r="A32" s="2" t="s">
        <v>1</v>
      </c>
      <c r="B32" s="2">
        <v>60</v>
      </c>
      <c r="C32" s="2" t="s">
        <v>3</v>
      </c>
      <c r="D32" s="2" t="s">
        <v>5</v>
      </c>
      <c r="E32" s="2">
        <v>200</v>
      </c>
      <c r="G32" t="s">
        <v>1</v>
      </c>
      <c r="H32">
        <v>200</v>
      </c>
      <c r="I32" t="s">
        <v>3</v>
      </c>
      <c r="J32" t="s">
        <v>5</v>
      </c>
      <c r="K32">
        <v>200</v>
      </c>
    </row>
    <row r="33" spans="1:11" x14ac:dyDescent="0.2">
      <c r="A33" s="2" t="s">
        <v>2</v>
      </c>
      <c r="B33" s="2">
        <v>30</v>
      </c>
      <c r="C33" s="2"/>
      <c r="D33" s="2" t="s">
        <v>6</v>
      </c>
      <c r="E33" s="3">
        <f>A35</f>
        <v>99.5</v>
      </c>
      <c r="G33" t="s">
        <v>2</v>
      </c>
      <c r="H33">
        <v>100</v>
      </c>
      <c r="J33" t="s">
        <v>6</v>
      </c>
      <c r="K33" s="1">
        <f>G35</f>
        <v>99.5</v>
      </c>
    </row>
    <row r="34" spans="1:11" x14ac:dyDescent="0.2">
      <c r="A34" s="2" t="s">
        <v>0</v>
      </c>
      <c r="B34" s="2">
        <f>B32-B33</f>
        <v>30</v>
      </c>
      <c r="C34" s="2" t="s">
        <v>4</v>
      </c>
      <c r="D34" s="2" t="s">
        <v>7</v>
      </c>
      <c r="E34" s="3">
        <f>E32-A35-2</f>
        <v>98.5</v>
      </c>
      <c r="G34" t="s">
        <v>0</v>
      </c>
      <c r="H34">
        <f>H32-H33</f>
        <v>100</v>
      </c>
      <c r="I34" t="s">
        <v>4</v>
      </c>
      <c r="J34" t="s">
        <v>7</v>
      </c>
      <c r="K34" s="1">
        <f>K32-G35-2</f>
        <v>98.5</v>
      </c>
    </row>
    <row r="35" spans="1:11" x14ac:dyDescent="0.2">
      <c r="A35" s="3">
        <f>((E32-1)*(1/(1+B33/B34)))</f>
        <v>99.5</v>
      </c>
      <c r="B35" s="2"/>
      <c r="C35" s="2"/>
      <c r="D35" s="2"/>
      <c r="E35" s="2"/>
      <c r="G35" s="1">
        <f>((K32-1)*(1/(1+H33/H34)))</f>
        <v>99.5</v>
      </c>
    </row>
    <row r="37" spans="1:11" x14ac:dyDescent="0.2">
      <c r="A37" s="5">
        <v>334</v>
      </c>
    </row>
    <row r="38" spans="1:11" x14ac:dyDescent="0.2">
      <c r="A38" s="2" t="s">
        <v>1</v>
      </c>
      <c r="B38" s="2">
        <v>60</v>
      </c>
      <c r="C38" s="2" t="s">
        <v>3</v>
      </c>
      <c r="D38" s="2" t="s">
        <v>5</v>
      </c>
      <c r="E38" s="2">
        <v>334</v>
      </c>
    </row>
    <row r="39" spans="1:11" x14ac:dyDescent="0.2">
      <c r="A39" s="2" t="s">
        <v>2</v>
      </c>
      <c r="B39" s="2">
        <v>30</v>
      </c>
      <c r="C39" s="2"/>
      <c r="D39" s="2" t="s">
        <v>6</v>
      </c>
      <c r="E39" s="3">
        <f>A41</f>
        <v>166.5</v>
      </c>
    </row>
    <row r="40" spans="1:11" x14ac:dyDescent="0.2">
      <c r="A40" s="2" t="s">
        <v>0</v>
      </c>
      <c r="B40" s="2">
        <f>B38-B39</f>
        <v>30</v>
      </c>
      <c r="C40" s="2" t="s">
        <v>4</v>
      </c>
      <c r="D40" s="2" t="s">
        <v>7</v>
      </c>
      <c r="E40" s="3">
        <f>E38-A41-2</f>
        <v>165.5</v>
      </c>
    </row>
    <row r="41" spans="1:11" x14ac:dyDescent="0.2">
      <c r="A41" s="3">
        <f>((E38-1)*(1/(1+B39/B40)))</f>
        <v>166.5</v>
      </c>
      <c r="B41" s="2"/>
      <c r="C41" s="2"/>
      <c r="D41" s="2"/>
      <c r="E41" s="2"/>
    </row>
    <row r="43" spans="1:11" x14ac:dyDescent="0.2">
      <c r="A43" s="2"/>
      <c r="B43" s="2"/>
      <c r="C43" s="2"/>
      <c r="D43" s="2"/>
      <c r="E43" s="2"/>
    </row>
    <row r="44" spans="1:11" x14ac:dyDescent="0.2">
      <c r="A44" s="2" t="s">
        <v>1</v>
      </c>
      <c r="B44" s="2">
        <v>60</v>
      </c>
      <c r="C44" s="2" t="s">
        <v>3</v>
      </c>
      <c r="D44" s="2" t="s">
        <v>5</v>
      </c>
      <c r="E44" s="2">
        <v>167</v>
      </c>
    </row>
    <row r="45" spans="1:11" x14ac:dyDescent="0.2">
      <c r="A45" s="2" t="s">
        <v>2</v>
      </c>
      <c r="B45" s="2">
        <v>30</v>
      </c>
      <c r="C45" s="2"/>
      <c r="D45" s="2" t="s">
        <v>6</v>
      </c>
      <c r="E45" s="3">
        <f>A47</f>
        <v>83</v>
      </c>
    </row>
    <row r="46" spans="1:11" x14ac:dyDescent="0.2">
      <c r="A46" s="2" t="s">
        <v>0</v>
      </c>
      <c r="B46" s="2">
        <f>B44-B45</f>
        <v>30</v>
      </c>
      <c r="C46" s="2" t="s">
        <v>4</v>
      </c>
      <c r="D46" s="2" t="s">
        <v>7</v>
      </c>
      <c r="E46" s="3">
        <f>E44-A47-2</f>
        <v>82</v>
      </c>
    </row>
    <row r="47" spans="1:11" x14ac:dyDescent="0.2">
      <c r="A47" s="3">
        <f>((E44-1)*(1/(1+B45/B46)))</f>
        <v>83</v>
      </c>
      <c r="B47" s="2"/>
      <c r="C47" s="2"/>
      <c r="D47" s="2"/>
      <c r="E47" s="2"/>
    </row>
    <row r="49" spans="1:5" x14ac:dyDescent="0.2">
      <c r="A49" s="2" t="s">
        <v>1</v>
      </c>
      <c r="B49" s="2">
        <v>60</v>
      </c>
      <c r="C49" s="2" t="s">
        <v>3</v>
      </c>
      <c r="D49" s="2" t="s">
        <v>5</v>
      </c>
      <c r="E49" s="2">
        <v>84</v>
      </c>
    </row>
    <row r="50" spans="1:5" x14ac:dyDescent="0.2">
      <c r="A50" s="2" t="s">
        <v>2</v>
      </c>
      <c r="B50" s="2">
        <v>30</v>
      </c>
      <c r="C50" s="2"/>
      <c r="D50" s="2" t="s">
        <v>6</v>
      </c>
      <c r="E50" s="3">
        <f>A52</f>
        <v>41.5</v>
      </c>
    </row>
    <row r="51" spans="1:5" x14ac:dyDescent="0.2">
      <c r="A51" s="2" t="s">
        <v>0</v>
      </c>
      <c r="B51" s="2">
        <f>B49-B50</f>
        <v>30</v>
      </c>
      <c r="C51" s="2" t="s">
        <v>4</v>
      </c>
      <c r="D51" s="2" t="s">
        <v>7</v>
      </c>
      <c r="E51" s="3">
        <f>E49-A52-2</f>
        <v>40.5</v>
      </c>
    </row>
    <row r="52" spans="1:5" x14ac:dyDescent="0.2">
      <c r="A52" s="3">
        <f>((E49-1)*(1/(1+B50/B51)))</f>
        <v>41.5</v>
      </c>
      <c r="B52" s="2"/>
      <c r="C52" s="2"/>
      <c r="D52" s="2"/>
      <c r="E5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Laminar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Tuana Oyuncu</dc:creator>
  <cp:lastModifiedBy>Tuana Oyuncu</cp:lastModifiedBy>
  <dcterms:created xsi:type="dcterms:W3CDTF">2024-04-14T15:20:49Z</dcterms:created>
  <dcterms:modified xsi:type="dcterms:W3CDTF">2024-10-28T12:46:16Z</dcterms:modified>
</cp:coreProperties>
</file>